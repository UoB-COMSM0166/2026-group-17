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4468729bfeeb3e/Desktop/"/>
    </mc:Choice>
  </mc:AlternateContent>
  <xr:revisionPtr revIDLastSave="3" documentId="14_{FC4429BF-3AC5-4430-9362-C6288B597797}" xr6:coauthVersionLast="47" xr6:coauthVersionMax="47" xr10:uidLastSave="{44E2FB87-004C-47C9-9CDD-ABF6213DC2DA}"/>
  <bookViews>
    <workbookView xWindow="-98" yWindow="-98" windowWidth="21795" windowHeight="12975" xr2:uid="{D065DBD9-7E16-402B-A3DC-75B774A1A963}"/>
  </bookViews>
  <sheets>
    <sheet name="WBS" sheetId="1" r:id="rId1"/>
    <sheet name="Deliverables" sheetId="2" r:id="rId2"/>
    <sheet name="Li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R6" i="1"/>
  <c r="S6" i="1"/>
  <c r="T6" i="1"/>
  <c r="M7" i="1"/>
  <c r="N7" i="1"/>
  <c r="O7" i="1"/>
  <c r="P7" i="1"/>
  <c r="Q7" i="1"/>
  <c r="R7" i="1"/>
  <c r="S7" i="1"/>
  <c r="T7" i="1"/>
  <c r="M8" i="1"/>
  <c r="N8" i="1"/>
  <c r="O8" i="1"/>
  <c r="P8" i="1"/>
  <c r="Q8" i="1"/>
  <c r="R8" i="1"/>
  <c r="S8" i="1"/>
  <c r="T8" i="1"/>
  <c r="M9" i="1"/>
  <c r="N9" i="1"/>
  <c r="O9" i="1"/>
  <c r="P9" i="1"/>
  <c r="Q9" i="1"/>
  <c r="R9" i="1"/>
  <c r="S9" i="1"/>
  <c r="T9" i="1"/>
  <c r="M10" i="1"/>
  <c r="N10" i="1"/>
  <c r="O10" i="1"/>
  <c r="P10" i="1"/>
  <c r="Q10" i="1"/>
  <c r="R10" i="1"/>
  <c r="S10" i="1"/>
  <c r="T10" i="1"/>
  <c r="M11" i="1"/>
  <c r="N11" i="1"/>
  <c r="O11" i="1"/>
  <c r="P11" i="1"/>
  <c r="Q11" i="1"/>
  <c r="R11" i="1"/>
  <c r="S11" i="1"/>
  <c r="T11" i="1"/>
  <c r="M12" i="1"/>
  <c r="N12" i="1"/>
  <c r="O12" i="1"/>
  <c r="P12" i="1"/>
  <c r="Q12" i="1"/>
  <c r="R12" i="1"/>
  <c r="S12" i="1"/>
  <c r="T12" i="1"/>
  <c r="M13" i="1"/>
  <c r="N13" i="1"/>
  <c r="O13" i="1"/>
  <c r="P13" i="1"/>
  <c r="Q13" i="1"/>
  <c r="R13" i="1"/>
  <c r="S13" i="1"/>
  <c r="T13" i="1"/>
  <c r="M14" i="1"/>
  <c r="N14" i="1"/>
  <c r="O14" i="1"/>
  <c r="P14" i="1"/>
  <c r="Q14" i="1"/>
  <c r="R14" i="1"/>
  <c r="S14" i="1"/>
  <c r="T14" i="1"/>
  <c r="M15" i="1"/>
  <c r="N15" i="1"/>
  <c r="O15" i="1"/>
  <c r="P15" i="1"/>
  <c r="Q15" i="1"/>
  <c r="R15" i="1"/>
  <c r="S15" i="1"/>
  <c r="T15" i="1"/>
  <c r="M16" i="1"/>
  <c r="N16" i="1"/>
  <c r="O16" i="1"/>
  <c r="P16" i="1"/>
  <c r="Q16" i="1"/>
  <c r="R16" i="1"/>
  <c r="S16" i="1"/>
  <c r="T16" i="1"/>
  <c r="M17" i="1"/>
  <c r="N17" i="1"/>
  <c r="O17" i="1"/>
  <c r="P17" i="1"/>
  <c r="Q17" i="1"/>
  <c r="R17" i="1"/>
  <c r="S17" i="1"/>
  <c r="T17" i="1"/>
  <c r="M18" i="1"/>
  <c r="N18" i="1"/>
  <c r="O18" i="1"/>
  <c r="P18" i="1"/>
  <c r="Q18" i="1"/>
  <c r="R18" i="1"/>
  <c r="S18" i="1"/>
  <c r="T18" i="1"/>
  <c r="L7" i="1"/>
  <c r="L8" i="1"/>
  <c r="L9" i="1"/>
  <c r="L10" i="1"/>
  <c r="L11" i="1"/>
  <c r="L12" i="1"/>
  <c r="L13" i="1"/>
  <c r="L14" i="1"/>
  <c r="L15" i="1"/>
  <c r="L16" i="1"/>
  <c r="L17" i="1"/>
  <c r="L18" i="1"/>
  <c r="G22" i="1"/>
  <c r="G21" i="1"/>
  <c r="G28" i="1"/>
  <c r="G27" i="1"/>
  <c r="G25" i="1"/>
  <c r="G30" i="1"/>
  <c r="G31" i="1"/>
  <c r="G32" i="1"/>
  <c r="G24" i="1"/>
  <c r="G12" i="1"/>
  <c r="G13" i="1"/>
  <c r="G19" i="1"/>
  <c r="G6" i="1"/>
  <c r="G11" i="1"/>
  <c r="G15" i="1"/>
  <c r="G17" i="1"/>
  <c r="G18" i="1"/>
  <c r="G9" i="1"/>
  <c r="G8" i="1"/>
</calcChain>
</file>

<file path=xl/sharedStrings.xml><?xml version="1.0" encoding="utf-8"?>
<sst xmlns="http://schemas.openxmlformats.org/spreadsheetml/2006/main" count="157" uniqueCount="79">
  <si>
    <t>Work Breakdown Structure (WBS)</t>
    <phoneticPr fontId="2"/>
  </si>
  <si>
    <t>Tasks</t>
    <phoneticPr fontId="2"/>
  </si>
  <si>
    <t>Set up development environment</t>
    <phoneticPr fontId="2"/>
  </si>
  <si>
    <r>
      <rPr>
        <b/>
        <sz val="11"/>
        <color theme="0"/>
        <rFont val="游ゴシック"/>
        <family val="3"/>
        <charset val="128"/>
      </rPr>
      <t>＃</t>
    </r>
    <phoneticPr fontId="2"/>
  </si>
  <si>
    <t>Project: Agile Game Development</t>
  </si>
  <si>
    <t>Methodology: Agile / Iterative (Scrum-like)</t>
  </si>
  <si>
    <t>Deliverables:</t>
  </si>
  <si>
    <t>・Game source code (GitHub)</t>
  </si>
  <si>
    <t>・Playable demo (e.g. GitHub Pages)</t>
  </si>
  <si>
    <t>・Demo / gameplay video</t>
  </si>
  <si>
    <t>・Project report</t>
  </si>
  <si>
    <t>・Group viva preparation</t>
  </si>
  <si>
    <t>Game research</t>
    <phoneticPr fontId="2"/>
  </si>
  <si>
    <t>Project Initiation (Week 1)</t>
    <phoneticPr fontId="2"/>
  </si>
  <si>
    <t>Idea generation</t>
    <phoneticPr fontId="2"/>
  </si>
  <si>
    <t xml:space="preserve">   Analyse existing games</t>
    <phoneticPr fontId="2"/>
  </si>
  <si>
    <t xml:space="preserve">   Brainstorm game concepts</t>
    <phoneticPr fontId="2"/>
  </si>
  <si>
    <t xml:space="preserve">   Produce two candidate game ideas</t>
    <phoneticPr fontId="2"/>
  </si>
  <si>
    <t xml:space="preserve">   Request GitHub repository to Alex</t>
    <phoneticPr fontId="2"/>
  </si>
  <si>
    <t>Yinuo</t>
  </si>
  <si>
    <t>Yinuo</t>
    <phoneticPr fontId="2"/>
  </si>
  <si>
    <t>All</t>
  </si>
  <si>
    <t>All</t>
    <phoneticPr fontId="2"/>
  </si>
  <si>
    <t>Done</t>
  </si>
  <si>
    <t>Done</t>
    <phoneticPr fontId="2"/>
  </si>
  <si>
    <t xml:space="preserve">   Form group</t>
    <phoneticPr fontId="2"/>
  </si>
  <si>
    <t>Form project group</t>
    <phoneticPr fontId="2"/>
  </si>
  <si>
    <t xml:space="preserve">   Take a group photo</t>
    <phoneticPr fontId="2"/>
  </si>
  <si>
    <t>Owner</t>
    <phoneticPr fontId="2"/>
  </si>
  <si>
    <t>Status</t>
    <phoneticPr fontId="2"/>
  </si>
  <si>
    <t>Requirements &amp; Planning (Weeks 2–4)</t>
    <phoneticPr fontId="2"/>
  </si>
  <si>
    <t>Duration
(days)</t>
    <phoneticPr fontId="2"/>
  </si>
  <si>
    <t>Progress</t>
    <phoneticPr fontId="2"/>
  </si>
  <si>
    <t>In Progress</t>
  </si>
  <si>
    <t>In Progress</t>
    <phoneticPr fontId="2"/>
  </si>
  <si>
    <t>Open</t>
  </si>
  <si>
    <t>Open</t>
    <phoneticPr fontId="2"/>
  </si>
  <si>
    <t>Member</t>
    <phoneticPr fontId="2"/>
  </si>
  <si>
    <t>Yuxin</t>
  </si>
  <si>
    <t>Shiho</t>
  </si>
  <si>
    <t>Yuqi</t>
  </si>
  <si>
    <t>Hsinman</t>
  </si>
  <si>
    <t>Nikolay</t>
  </si>
  <si>
    <t xml:space="preserve">   Decide which tool to submit</t>
    <phoneticPr fontId="2"/>
  </si>
  <si>
    <t xml:space="preserve">   Update member lists on GitHub</t>
    <phoneticPr fontId="2"/>
  </si>
  <si>
    <t xml:space="preserve">   Update group photo on GitHub</t>
    <phoneticPr fontId="2"/>
  </si>
  <si>
    <t xml:space="preserve">   Upload the code to GitHub</t>
    <phoneticPr fontId="2"/>
  </si>
  <si>
    <t>Prototyping</t>
    <phoneticPr fontId="2"/>
  </si>
  <si>
    <t>p5.js practice (painting tool)</t>
    <phoneticPr fontId="2"/>
  </si>
  <si>
    <r>
      <t xml:space="preserve">   Create p</t>
    </r>
    <r>
      <rPr>
        <sz val="11"/>
        <color theme="1"/>
        <rFont val="Calibri"/>
        <family val="2"/>
      </rPr>
      <t>aper prototype</t>
    </r>
    <phoneticPr fontId="2"/>
  </si>
  <si>
    <r>
      <t xml:space="preserve">   </t>
    </r>
    <r>
      <rPr>
        <sz val="11"/>
        <color theme="1"/>
        <rFont val="Calibri"/>
        <family val="2"/>
      </rPr>
      <t>Digital wireframes</t>
    </r>
    <phoneticPr fontId="2"/>
  </si>
  <si>
    <t xml:space="preserve">   Take a video of prototype introduction</t>
    <phoneticPr fontId="2"/>
  </si>
  <si>
    <t>Description of the two candidate games</t>
    <phoneticPr fontId="2"/>
  </si>
  <si>
    <t xml:space="preserve">   Add a description of Cutthroat Island</t>
    <phoneticPr fontId="2"/>
  </si>
  <si>
    <t xml:space="preserve">   Add a description of Pocket Tanks</t>
    <phoneticPr fontId="2"/>
  </si>
  <si>
    <t>Game requirements</t>
    <phoneticPr fontId="2"/>
  </si>
  <si>
    <r>
      <rPr>
        <sz val="11"/>
        <color theme="1"/>
        <rFont val="Calibri"/>
        <family val="3"/>
      </rPr>
      <t xml:space="preserve">   </t>
    </r>
    <r>
      <rPr>
        <sz val="11"/>
        <color theme="1"/>
        <rFont val="Calibri"/>
        <family val="2"/>
      </rPr>
      <t>Core gameplay loop</t>
    </r>
    <r>
      <rPr>
        <sz val="11"/>
        <color theme="1"/>
        <rFont val="ＭＳ ゴシック"/>
        <family val="3"/>
        <charset val="128"/>
      </rPr>
      <t>　</t>
    </r>
    <phoneticPr fontId="2"/>
  </si>
  <si>
    <r>
      <rPr>
        <sz val="11"/>
        <color theme="1"/>
        <rFont val="Calibri"/>
        <family val="3"/>
      </rPr>
      <t xml:space="preserve">   </t>
    </r>
    <r>
      <rPr>
        <sz val="11"/>
        <color theme="1"/>
        <rFont val="Calibri"/>
        <family val="2"/>
      </rPr>
      <t>Win/lose conditions</t>
    </r>
    <phoneticPr fontId="2"/>
  </si>
  <si>
    <t>Requirements documentation</t>
    <phoneticPr fontId="2"/>
  </si>
  <si>
    <r>
      <t xml:space="preserve">   </t>
    </r>
    <r>
      <rPr>
        <sz val="11"/>
        <color theme="1"/>
        <rFont val="Calibri"/>
        <family val="2"/>
      </rPr>
      <t>Scoring and progression</t>
    </r>
    <phoneticPr fontId="2"/>
  </si>
  <si>
    <r>
      <rPr>
        <sz val="11"/>
        <color theme="1"/>
        <rFont val="Calibri"/>
        <family val="3"/>
      </rPr>
      <t xml:space="preserve">   </t>
    </r>
    <r>
      <rPr>
        <sz val="11"/>
        <color theme="1"/>
        <rFont val="Calibri"/>
        <family val="2"/>
      </rPr>
      <t>Functional requirements</t>
    </r>
    <phoneticPr fontId="2"/>
  </si>
  <si>
    <r>
      <rPr>
        <sz val="11"/>
        <color theme="1"/>
        <rFont val="Calibri"/>
        <family val="3"/>
      </rPr>
      <t xml:space="preserve">   </t>
    </r>
    <r>
      <rPr>
        <sz val="11"/>
        <color theme="1"/>
        <rFont val="Calibri"/>
        <family val="2"/>
      </rPr>
      <t>Non-functional requirements</t>
    </r>
    <phoneticPr fontId="2"/>
  </si>
  <si>
    <r>
      <rPr>
        <sz val="11"/>
        <color theme="1"/>
        <rFont val="Calibri"/>
        <family val="3"/>
      </rPr>
      <t xml:space="preserve">   </t>
    </r>
    <r>
      <rPr>
        <sz val="11"/>
        <color theme="1"/>
        <rFont val="Calibri"/>
        <family val="2"/>
      </rPr>
      <t>Ethical considerations and constraints</t>
    </r>
    <phoneticPr fontId="2"/>
  </si>
  <si>
    <t xml:space="preserve">   Setting up a Kanban board tool</t>
    <phoneticPr fontId="2"/>
  </si>
  <si>
    <t xml:space="preserve">   Choose a Kanban board tool</t>
    <phoneticPr fontId="2"/>
  </si>
  <si>
    <t>TBD</t>
    <phoneticPr fontId="2"/>
  </si>
  <si>
    <t>January</t>
    <phoneticPr fontId="2"/>
  </si>
  <si>
    <t>Tue</t>
  </si>
  <si>
    <t>Tue</t>
    <phoneticPr fontId="2"/>
  </si>
  <si>
    <t>Wed</t>
  </si>
  <si>
    <t>Wed</t>
    <phoneticPr fontId="2"/>
  </si>
  <si>
    <t>Thu</t>
  </si>
  <si>
    <t>Fri</t>
  </si>
  <si>
    <t>February</t>
    <phoneticPr fontId="2"/>
  </si>
  <si>
    <t>Sat</t>
  </si>
  <si>
    <t>Sun</t>
  </si>
  <si>
    <t>Mon</t>
  </si>
  <si>
    <t>Start Date</t>
    <phoneticPr fontId="2"/>
  </si>
  <si>
    <t>End Date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</si>
</sst>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游ゴシック"/>
      <family val="3"/>
      <charset val="128"/>
    </font>
    <font>
      <sz val="10"/>
      <color theme="1"/>
      <name val="Calibri"/>
      <family val="2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3"/>
    </font>
    <font>
      <b/>
      <sz val="10"/>
      <color theme="0"/>
      <name val="Arial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u/>
      <sz val="2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7" fillId="0" borderId="0" xfId="0" applyFont="1" applyAlignment="1">
      <alignment wrapText="1"/>
    </xf>
    <xf numFmtId="0" fontId="5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wrapText="1"/>
    </xf>
    <xf numFmtId="0" fontId="4" fillId="3" borderId="0" xfId="0" applyFont="1" applyFill="1">
      <alignment vertical="center"/>
    </xf>
    <xf numFmtId="0" fontId="4" fillId="4" borderId="0" xfId="0" applyFont="1" applyFill="1">
      <alignment vertical="center"/>
    </xf>
    <xf numFmtId="14" fontId="3" fillId="0" borderId="0" xfId="0" applyNumberFormat="1" applyFont="1" applyAlignment="1">
      <alignment wrapText="1"/>
    </xf>
    <xf numFmtId="14" fontId="10" fillId="3" borderId="0" xfId="0" applyNumberFormat="1" applyFont="1" applyFill="1" applyAlignment="1">
      <alignment wrapText="1"/>
    </xf>
    <xf numFmtId="9" fontId="4" fillId="0" borderId="0" xfId="0" applyNumberFormat="1" applyFont="1">
      <alignment vertical="center"/>
    </xf>
    <xf numFmtId="0" fontId="1" fillId="2" borderId="0" xfId="0" applyFont="1" applyFill="1">
      <alignment vertical="center"/>
    </xf>
    <xf numFmtId="0" fontId="9" fillId="0" borderId="0" xfId="0" applyFont="1">
      <alignment vertical="center"/>
    </xf>
    <xf numFmtId="14" fontId="3" fillId="4" borderId="0" xfId="0" applyNumberFormat="1" applyFont="1" applyFill="1" applyAlignment="1">
      <alignment wrapText="1"/>
    </xf>
    <xf numFmtId="9" fontId="4" fillId="4" borderId="0" xfId="0" applyNumberFormat="1" applyFont="1" applyFill="1">
      <alignment vertical="center"/>
    </xf>
    <xf numFmtId="0" fontId="5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left" vertical="center"/>
    </xf>
    <xf numFmtId="0" fontId="12" fillId="5" borderId="0" xfId="0" applyFont="1" applyFill="1" applyAlignment="1">
      <alignment horizontal="left" vertical="center"/>
    </xf>
  </cellXfs>
  <cellStyles count="1">
    <cellStyle name="標準" xfId="0" builtinId="0"/>
  </cellStyles>
  <dxfs count="9">
    <dxf>
      <font>
        <color auto="1"/>
      </font>
      <fill>
        <patternFill>
          <fgColor theme="0"/>
          <bgColor theme="0" tint="-0.24994659260841701"/>
        </patternFill>
      </fill>
    </dxf>
    <dxf>
      <font>
        <color auto="1"/>
      </font>
      <fill>
        <patternFill>
          <fgColor theme="0"/>
          <bgColor theme="0" tint="-0.24994659260841701"/>
        </patternFill>
      </fill>
    </dxf>
    <dxf>
      <font>
        <color auto="1"/>
      </font>
      <fill>
        <patternFill>
          <fgColor theme="0"/>
          <bgColor theme="0" tint="-0.24994659260841701"/>
        </patternFill>
      </fill>
    </dxf>
    <dxf>
      <font>
        <color auto="1"/>
      </font>
      <fill>
        <patternFill>
          <fgColor theme="0"/>
          <bgColor theme="0" tint="-0.14996795556505021"/>
        </patternFill>
      </fill>
    </dxf>
    <dxf>
      <font>
        <color auto="1"/>
      </font>
      <fill>
        <patternFill>
          <fgColor theme="0"/>
          <bgColor theme="0" tint="-0.24994659260841701"/>
        </patternFill>
      </fill>
    </dxf>
    <dxf>
      <font>
        <color auto="1"/>
      </font>
      <fill>
        <patternFill>
          <fgColor theme="0"/>
          <bgColor theme="0" tint="-0.24994659260841701"/>
        </patternFill>
      </fill>
    </dxf>
    <dxf>
      <font>
        <color auto="1"/>
      </font>
      <fill>
        <patternFill>
          <fgColor theme="0"/>
          <bgColor theme="0" tint="-0.24994659260841701"/>
        </patternFill>
      </fill>
    </dxf>
    <dxf>
      <font>
        <color auto="1"/>
      </font>
      <fill>
        <patternFill>
          <fgColor theme="0"/>
          <bgColor theme="0" tint="-0.24994659260841701"/>
        </patternFill>
      </fill>
    </dxf>
    <dxf>
      <font>
        <color auto="1"/>
      </font>
      <fill>
        <patternFill>
          <fgColor theme="0"/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309908</xdr:colOff>
      <xdr:row>1</xdr:row>
      <xdr:rowOff>317466</xdr:rowOff>
    </xdr:from>
    <xdr:to>
      <xdr:col>23</xdr:col>
      <xdr:colOff>9903</xdr:colOff>
      <xdr:row>40</xdr:row>
      <xdr:rowOff>16235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001D33D-2E72-0E05-927B-9B90B8148619}"/>
            </a:ext>
          </a:extLst>
        </xdr:cNvPr>
        <xdr:cNvSpPr/>
      </xdr:nvSpPr>
      <xdr:spPr>
        <a:xfrm>
          <a:off x="11366485" y="496060"/>
          <a:ext cx="349427" cy="6983230"/>
        </a:xfrm>
        <a:prstGeom prst="rect">
          <a:avLst/>
        </a:prstGeom>
        <a:noFill/>
        <a:ln w="28575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4177-9F2C-4C7D-8A77-77B32E8FDF96}">
  <sheetPr>
    <tabColor theme="4"/>
  </sheetPr>
  <dimension ref="A2:AV40"/>
  <sheetViews>
    <sheetView tabSelected="1" zoomScale="88"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AA10" sqref="AA10"/>
    </sheetView>
  </sheetViews>
  <sheetFormatPr defaultRowHeight="14.25" x14ac:dyDescent="0.7"/>
  <cols>
    <col min="1" max="1" width="4.0625" style="1" customWidth="1"/>
    <col min="2" max="2" width="30" style="2" customWidth="1"/>
    <col min="3" max="6" width="9" style="2"/>
    <col min="7" max="7" width="8" style="1" customWidth="1"/>
    <col min="8" max="8" width="9" style="2"/>
    <col min="9" max="20" width="4.5" style="1" customWidth="1"/>
    <col min="21" max="48" width="4.25" style="1" customWidth="1"/>
    <col min="49" max="16384" width="9" style="2"/>
  </cols>
  <sheetData>
    <row r="2" spans="1:48" ht="25.5" x14ac:dyDescent="0.7">
      <c r="B2" s="27" t="s">
        <v>0</v>
      </c>
    </row>
    <row r="3" spans="1:48" ht="17.649999999999999" customHeight="1" x14ac:dyDescent="0.7">
      <c r="A3" s="19" t="s">
        <v>3</v>
      </c>
      <c r="B3" s="20" t="s">
        <v>1</v>
      </c>
      <c r="C3" s="20" t="s">
        <v>28</v>
      </c>
      <c r="D3" s="20" t="s">
        <v>29</v>
      </c>
      <c r="E3" s="21" t="s">
        <v>77</v>
      </c>
      <c r="F3" s="21" t="s">
        <v>78</v>
      </c>
      <c r="G3" s="21" t="s">
        <v>31</v>
      </c>
      <c r="H3" s="22" t="s">
        <v>32</v>
      </c>
      <c r="I3" s="34" t="s">
        <v>66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28" t="s">
        <v>73</v>
      </c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</row>
    <row r="4" spans="1:48" ht="19.5" customHeight="1" x14ac:dyDescent="0.7">
      <c r="A4" s="19"/>
      <c r="B4" s="20"/>
      <c r="C4" s="20"/>
      <c r="D4" s="20"/>
      <c r="E4" s="21"/>
      <c r="F4" s="21"/>
      <c r="G4" s="21"/>
      <c r="H4" s="22"/>
      <c r="I4" s="30">
        <v>20</v>
      </c>
      <c r="J4" s="30">
        <v>21</v>
      </c>
      <c r="K4" s="30">
        <v>22</v>
      </c>
      <c r="L4" s="30">
        <v>23</v>
      </c>
      <c r="M4" s="30">
        <v>24</v>
      </c>
      <c r="N4" s="30">
        <v>25</v>
      </c>
      <c r="O4" s="30">
        <v>26</v>
      </c>
      <c r="P4" s="30">
        <v>27</v>
      </c>
      <c r="Q4" s="30">
        <v>28</v>
      </c>
      <c r="R4" s="30">
        <v>29</v>
      </c>
      <c r="S4" s="30">
        <v>30</v>
      </c>
      <c r="T4" s="30">
        <v>31</v>
      </c>
      <c r="U4" s="30">
        <v>1</v>
      </c>
      <c r="V4" s="30">
        <v>2</v>
      </c>
      <c r="W4" s="30">
        <v>3</v>
      </c>
      <c r="X4" s="30">
        <v>4</v>
      </c>
      <c r="Y4" s="30">
        <v>5</v>
      </c>
      <c r="Z4" s="30">
        <v>6</v>
      </c>
      <c r="AA4" s="30">
        <v>7</v>
      </c>
      <c r="AB4" s="30">
        <v>8</v>
      </c>
      <c r="AC4" s="30">
        <v>9</v>
      </c>
      <c r="AD4" s="30">
        <v>10</v>
      </c>
      <c r="AE4" s="30">
        <v>11</v>
      </c>
      <c r="AF4" s="30">
        <v>12</v>
      </c>
      <c r="AG4" s="30">
        <v>13</v>
      </c>
      <c r="AH4" s="30">
        <v>14</v>
      </c>
      <c r="AI4" s="30">
        <v>15</v>
      </c>
      <c r="AJ4" s="30">
        <v>16</v>
      </c>
      <c r="AK4" s="30">
        <v>17</v>
      </c>
      <c r="AL4" s="30">
        <v>18</v>
      </c>
      <c r="AM4" s="30">
        <v>19</v>
      </c>
      <c r="AN4" s="30">
        <v>20</v>
      </c>
      <c r="AO4" s="30">
        <v>21</v>
      </c>
      <c r="AP4" s="30">
        <v>22</v>
      </c>
      <c r="AQ4" s="30">
        <v>23</v>
      </c>
      <c r="AR4" s="30">
        <v>24</v>
      </c>
      <c r="AS4" s="30">
        <v>25</v>
      </c>
      <c r="AT4" s="30">
        <v>26</v>
      </c>
      <c r="AU4" s="30">
        <v>27</v>
      </c>
      <c r="AV4" s="30">
        <v>28</v>
      </c>
    </row>
    <row r="5" spans="1:48" ht="18.75" customHeight="1" x14ac:dyDescent="0.7">
      <c r="A5" s="23"/>
      <c r="B5" s="24"/>
      <c r="C5" s="24"/>
      <c r="D5" s="24"/>
      <c r="E5" s="25"/>
      <c r="F5" s="25"/>
      <c r="G5" s="25"/>
      <c r="H5" s="26"/>
      <c r="I5" s="31" t="s">
        <v>68</v>
      </c>
      <c r="J5" s="31" t="s">
        <v>70</v>
      </c>
      <c r="K5" s="31" t="s">
        <v>71</v>
      </c>
      <c r="L5" s="31" t="s">
        <v>72</v>
      </c>
      <c r="M5" s="31" t="s">
        <v>74</v>
      </c>
      <c r="N5" s="31" t="s">
        <v>75</v>
      </c>
      <c r="O5" s="31" t="s">
        <v>76</v>
      </c>
      <c r="P5" s="31" t="s">
        <v>67</v>
      </c>
      <c r="Q5" s="31" t="s">
        <v>69</v>
      </c>
      <c r="R5" s="31" t="s">
        <v>71</v>
      </c>
      <c r="S5" s="31" t="s">
        <v>72</v>
      </c>
      <c r="T5" s="31" t="s">
        <v>74</v>
      </c>
      <c r="U5" s="31" t="s">
        <v>75</v>
      </c>
      <c r="V5" s="31" t="s">
        <v>76</v>
      </c>
      <c r="W5" s="31" t="s">
        <v>67</v>
      </c>
      <c r="X5" s="31" t="s">
        <v>69</v>
      </c>
      <c r="Y5" s="31" t="s">
        <v>71</v>
      </c>
      <c r="Z5" s="31" t="s">
        <v>72</v>
      </c>
      <c r="AA5" s="31" t="s">
        <v>74</v>
      </c>
      <c r="AB5" s="31" t="s">
        <v>75</v>
      </c>
      <c r="AC5" s="31" t="s">
        <v>76</v>
      </c>
      <c r="AD5" s="31" t="s">
        <v>67</v>
      </c>
      <c r="AE5" s="31" t="s">
        <v>69</v>
      </c>
      <c r="AF5" s="31" t="s">
        <v>71</v>
      </c>
      <c r="AG5" s="31" t="s">
        <v>72</v>
      </c>
      <c r="AH5" s="31" t="s">
        <v>74</v>
      </c>
      <c r="AI5" s="31" t="s">
        <v>75</v>
      </c>
      <c r="AJ5" s="31" t="s">
        <v>76</v>
      </c>
      <c r="AK5" s="31" t="s">
        <v>67</v>
      </c>
      <c r="AL5" s="31" t="s">
        <v>69</v>
      </c>
      <c r="AM5" s="31" t="s">
        <v>71</v>
      </c>
      <c r="AN5" s="31" t="s">
        <v>72</v>
      </c>
      <c r="AO5" s="31" t="s">
        <v>74</v>
      </c>
      <c r="AP5" s="31" t="s">
        <v>75</v>
      </c>
      <c r="AQ5" s="31" t="s">
        <v>76</v>
      </c>
      <c r="AR5" s="31" t="s">
        <v>67</v>
      </c>
      <c r="AS5" s="31" t="s">
        <v>69</v>
      </c>
      <c r="AT5" s="31" t="s">
        <v>71</v>
      </c>
      <c r="AU5" s="31" t="s">
        <v>72</v>
      </c>
      <c r="AV5" s="31" t="s">
        <v>74</v>
      </c>
    </row>
    <row r="6" spans="1:48" x14ac:dyDescent="0.4">
      <c r="A6" s="5">
        <v>1</v>
      </c>
      <c r="B6" s="4" t="s">
        <v>13</v>
      </c>
      <c r="C6" s="8"/>
      <c r="D6" s="8"/>
      <c r="E6" s="11">
        <v>46042</v>
      </c>
      <c r="F6" s="11">
        <v>46048</v>
      </c>
      <c r="G6" s="5">
        <f>F6-E6+1</f>
        <v>7</v>
      </c>
      <c r="H6" s="8"/>
      <c r="Q6" s="1" t="str">
        <f t="shared" ref="M6:T18" si="0">IF(OR(WEEKDAY(K$2)=1, WEEKDAY(K$2)=7), "", IF(AND(K$2&gt;=$E4, K$2&lt;=$F4), 1, ""))</f>
        <v/>
      </c>
      <c r="R6" s="1" t="str">
        <f t="shared" si="0"/>
        <v/>
      </c>
      <c r="S6" s="1" t="str">
        <f t="shared" si="0"/>
        <v/>
      </c>
      <c r="T6" s="1" t="str">
        <f t="shared" si="0"/>
        <v/>
      </c>
    </row>
    <row r="7" spans="1:48" x14ac:dyDescent="0.4">
      <c r="A7" s="6">
        <v>1.1000000000000001</v>
      </c>
      <c r="B7" s="7" t="s">
        <v>26</v>
      </c>
      <c r="C7" s="9"/>
      <c r="D7" s="9"/>
      <c r="E7" s="9"/>
      <c r="F7" s="9"/>
      <c r="G7" s="6"/>
      <c r="H7" s="9"/>
      <c r="L7" s="1" t="str">
        <f t="shared" ref="L7:L18" si="1">IF(OR(WEEKDAY(F$2)=1, WEEKDAY(F$2)=7), "", IF(AND(F$2&gt;=$E5, F$2&lt;=$F5), 1, ""))</f>
        <v/>
      </c>
      <c r="M7" s="1" t="str">
        <f t="shared" si="0"/>
        <v/>
      </c>
      <c r="N7" s="1" t="str">
        <f t="shared" si="0"/>
        <v/>
      </c>
      <c r="O7" s="1" t="str">
        <f t="shared" si="0"/>
        <v/>
      </c>
      <c r="P7" s="1" t="str">
        <f t="shared" si="0"/>
        <v/>
      </c>
      <c r="Q7" s="1" t="str">
        <f t="shared" si="0"/>
        <v/>
      </c>
      <c r="R7" s="1" t="str">
        <f t="shared" si="0"/>
        <v/>
      </c>
      <c r="S7" s="1" t="str">
        <f t="shared" si="0"/>
        <v/>
      </c>
      <c r="T7" s="1" t="str">
        <f t="shared" si="0"/>
        <v/>
      </c>
    </row>
    <row r="8" spans="1:48" x14ac:dyDescent="0.4">
      <c r="B8" s="3" t="s">
        <v>25</v>
      </c>
      <c r="C8" s="2" t="s">
        <v>22</v>
      </c>
      <c r="D8" s="2" t="s">
        <v>24</v>
      </c>
      <c r="E8" s="10">
        <v>46042</v>
      </c>
      <c r="F8" s="10">
        <v>46042</v>
      </c>
      <c r="G8" s="1">
        <f>F8-E8+1</f>
        <v>1</v>
      </c>
      <c r="H8" s="12">
        <v>1</v>
      </c>
      <c r="I8" s="33"/>
      <c r="L8" s="1" t="str">
        <f t="shared" si="1"/>
        <v/>
      </c>
      <c r="M8" s="1" t="str">
        <f t="shared" si="0"/>
        <v/>
      </c>
      <c r="N8" s="1" t="str">
        <f t="shared" si="0"/>
        <v/>
      </c>
      <c r="O8" s="1" t="str">
        <f t="shared" si="0"/>
        <v/>
      </c>
      <c r="P8" s="1" t="str">
        <f t="shared" si="0"/>
        <v/>
      </c>
      <c r="Q8" s="1" t="str">
        <f t="shared" si="0"/>
        <v/>
      </c>
      <c r="R8" s="1" t="str">
        <f t="shared" si="0"/>
        <v/>
      </c>
      <c r="S8" s="1" t="str">
        <f t="shared" si="0"/>
        <v/>
      </c>
      <c r="T8" s="1" t="str">
        <f t="shared" si="0"/>
        <v/>
      </c>
    </row>
    <row r="9" spans="1:48" x14ac:dyDescent="0.4">
      <c r="B9" s="3" t="s">
        <v>27</v>
      </c>
      <c r="C9" s="2" t="s">
        <v>22</v>
      </c>
      <c r="D9" s="2" t="s">
        <v>24</v>
      </c>
      <c r="E9" s="10">
        <v>46042</v>
      </c>
      <c r="F9" s="10">
        <v>46051</v>
      </c>
      <c r="G9" s="1">
        <f>F9-E9+1</f>
        <v>10</v>
      </c>
      <c r="H9" s="12">
        <v>1</v>
      </c>
      <c r="I9" s="33"/>
      <c r="J9" s="33"/>
      <c r="K9" s="33"/>
      <c r="L9" s="33" t="str">
        <f t="shared" si="1"/>
        <v/>
      </c>
      <c r="M9" s="33" t="str">
        <f t="shared" si="0"/>
        <v/>
      </c>
      <c r="N9" s="33" t="str">
        <f t="shared" si="0"/>
        <v/>
      </c>
      <c r="O9" s="33" t="str">
        <f t="shared" si="0"/>
        <v/>
      </c>
      <c r="P9" s="33" t="str">
        <f t="shared" si="0"/>
        <v/>
      </c>
      <c r="Q9" s="33" t="str">
        <f t="shared" si="0"/>
        <v/>
      </c>
      <c r="R9" s="33" t="str">
        <f t="shared" si="0"/>
        <v/>
      </c>
      <c r="S9" s="1" t="str">
        <f t="shared" si="0"/>
        <v/>
      </c>
      <c r="T9" s="1" t="str">
        <f t="shared" si="0"/>
        <v/>
      </c>
    </row>
    <row r="10" spans="1:48" x14ac:dyDescent="0.4">
      <c r="A10" s="6">
        <v>1.2</v>
      </c>
      <c r="B10" s="7" t="s">
        <v>2</v>
      </c>
      <c r="C10" s="9"/>
      <c r="D10" s="9"/>
      <c r="E10" s="9"/>
      <c r="F10" s="9"/>
      <c r="G10" s="6"/>
      <c r="H10" s="9"/>
      <c r="L10" s="1" t="str">
        <f t="shared" si="1"/>
        <v/>
      </c>
      <c r="M10" s="1" t="str">
        <f t="shared" si="0"/>
        <v/>
      </c>
      <c r="N10" s="1" t="str">
        <f t="shared" si="0"/>
        <v/>
      </c>
      <c r="O10" s="1" t="str">
        <f t="shared" si="0"/>
        <v/>
      </c>
      <c r="P10" s="1" t="str">
        <f t="shared" si="0"/>
        <v/>
      </c>
      <c r="Q10" s="1" t="str">
        <f t="shared" si="0"/>
        <v/>
      </c>
      <c r="R10" s="1" t="str">
        <f t="shared" si="0"/>
        <v/>
      </c>
      <c r="S10" s="1" t="str">
        <f t="shared" si="0"/>
        <v/>
      </c>
      <c r="T10" s="1" t="str">
        <f t="shared" si="0"/>
        <v/>
      </c>
    </row>
    <row r="11" spans="1:48" x14ac:dyDescent="0.4">
      <c r="B11" s="3" t="s">
        <v>18</v>
      </c>
      <c r="C11" s="2" t="s">
        <v>20</v>
      </c>
      <c r="D11" s="2" t="s">
        <v>24</v>
      </c>
      <c r="E11" s="10">
        <v>46042</v>
      </c>
      <c r="F11" s="10">
        <v>46047</v>
      </c>
      <c r="G11" s="1">
        <f t="shared" ref="G11:G18" si="2">F11-E11+1</f>
        <v>6</v>
      </c>
      <c r="H11" s="12">
        <v>1</v>
      </c>
      <c r="I11" s="33"/>
      <c r="J11" s="33"/>
      <c r="K11" s="33"/>
      <c r="L11" s="33" t="str">
        <f t="shared" si="1"/>
        <v/>
      </c>
      <c r="M11" s="33" t="str">
        <f t="shared" si="0"/>
        <v/>
      </c>
      <c r="N11" s="33" t="str">
        <f t="shared" si="0"/>
        <v/>
      </c>
      <c r="O11" s="1" t="str">
        <f t="shared" si="0"/>
        <v/>
      </c>
      <c r="P11" s="1" t="str">
        <f t="shared" si="0"/>
        <v/>
      </c>
      <c r="Q11" s="1" t="str">
        <f t="shared" si="0"/>
        <v/>
      </c>
      <c r="R11" s="1" t="str">
        <f t="shared" si="0"/>
        <v/>
      </c>
      <c r="S11" s="1" t="str">
        <f t="shared" si="0"/>
        <v/>
      </c>
      <c r="T11" s="1" t="str">
        <f t="shared" si="0"/>
        <v/>
      </c>
    </row>
    <row r="12" spans="1:48" x14ac:dyDescent="0.4">
      <c r="B12" s="3" t="s">
        <v>44</v>
      </c>
      <c r="C12" s="2" t="s">
        <v>22</v>
      </c>
      <c r="D12" s="2" t="s">
        <v>33</v>
      </c>
      <c r="E12" s="10">
        <v>46042</v>
      </c>
      <c r="F12" s="10">
        <v>46048</v>
      </c>
      <c r="G12" s="1">
        <f>F12-E12+1</f>
        <v>7</v>
      </c>
      <c r="H12" s="12">
        <v>0.6</v>
      </c>
      <c r="I12" s="33"/>
      <c r="J12" s="33"/>
      <c r="K12" s="33"/>
      <c r="L12" s="33" t="str">
        <f t="shared" si="1"/>
        <v/>
      </c>
      <c r="M12" s="33" t="str">
        <f t="shared" si="0"/>
        <v/>
      </c>
      <c r="N12" s="33" t="str">
        <f t="shared" si="0"/>
        <v/>
      </c>
      <c r="O12" s="33" t="str">
        <f t="shared" si="0"/>
        <v/>
      </c>
      <c r="P12" s="1" t="str">
        <f t="shared" si="0"/>
        <v/>
      </c>
      <c r="Q12" s="1" t="str">
        <f t="shared" si="0"/>
        <v/>
      </c>
      <c r="R12" s="1" t="str">
        <f t="shared" si="0"/>
        <v/>
      </c>
      <c r="S12" s="1" t="str">
        <f t="shared" si="0"/>
        <v/>
      </c>
      <c r="T12" s="1" t="str">
        <f t="shared" si="0"/>
        <v/>
      </c>
    </row>
    <row r="13" spans="1:48" x14ac:dyDescent="0.4">
      <c r="B13" s="3" t="s">
        <v>45</v>
      </c>
      <c r="C13" s="2" t="s">
        <v>39</v>
      </c>
      <c r="D13" s="2" t="s">
        <v>33</v>
      </c>
      <c r="E13" s="10">
        <v>46042</v>
      </c>
      <c r="F13" s="10">
        <v>46048</v>
      </c>
      <c r="G13" s="1">
        <f>F13-E13+1</f>
        <v>7</v>
      </c>
      <c r="H13" s="12">
        <v>0</v>
      </c>
      <c r="I13" s="33"/>
      <c r="J13" s="33"/>
      <c r="K13" s="33"/>
      <c r="L13" s="33" t="str">
        <f t="shared" si="1"/>
        <v/>
      </c>
      <c r="M13" s="33" t="str">
        <f t="shared" si="0"/>
        <v/>
      </c>
      <c r="N13" s="33" t="str">
        <f t="shared" si="0"/>
        <v/>
      </c>
      <c r="O13" s="33" t="str">
        <f t="shared" si="0"/>
        <v/>
      </c>
      <c r="P13" s="1" t="str">
        <f t="shared" si="0"/>
        <v/>
      </c>
      <c r="Q13" s="1" t="str">
        <f t="shared" si="0"/>
        <v/>
      </c>
      <c r="R13" s="1" t="str">
        <f t="shared" si="0"/>
        <v/>
      </c>
      <c r="S13" s="1" t="str">
        <f t="shared" si="0"/>
        <v/>
      </c>
      <c r="T13" s="1" t="str">
        <f t="shared" si="0"/>
        <v/>
      </c>
    </row>
    <row r="14" spans="1:48" x14ac:dyDescent="0.4">
      <c r="A14" s="6">
        <v>1.3</v>
      </c>
      <c r="B14" s="7" t="s">
        <v>12</v>
      </c>
      <c r="C14" s="9"/>
      <c r="D14" s="9"/>
      <c r="E14" s="9"/>
      <c r="F14" s="9"/>
      <c r="G14" s="6"/>
      <c r="H14" s="9"/>
      <c r="L14" s="1" t="str">
        <f t="shared" si="1"/>
        <v/>
      </c>
      <c r="M14" s="1" t="str">
        <f t="shared" si="0"/>
        <v/>
      </c>
      <c r="N14" s="1" t="str">
        <f t="shared" si="0"/>
        <v/>
      </c>
      <c r="O14" s="1" t="str">
        <f t="shared" si="0"/>
        <v/>
      </c>
      <c r="P14" s="1" t="str">
        <f t="shared" si="0"/>
        <v/>
      </c>
      <c r="Q14" s="1" t="str">
        <f t="shared" si="0"/>
        <v/>
      </c>
      <c r="R14" s="1" t="str">
        <f t="shared" si="0"/>
        <v/>
      </c>
      <c r="S14" s="1" t="str">
        <f t="shared" si="0"/>
        <v/>
      </c>
      <c r="T14" s="1" t="str">
        <f t="shared" si="0"/>
        <v/>
      </c>
    </row>
    <row r="15" spans="1:48" x14ac:dyDescent="0.4">
      <c r="B15" s="3" t="s">
        <v>15</v>
      </c>
      <c r="C15" s="2" t="s">
        <v>22</v>
      </c>
      <c r="D15" s="2" t="s">
        <v>24</v>
      </c>
      <c r="E15" s="10">
        <v>46042</v>
      </c>
      <c r="F15" s="10">
        <v>46048</v>
      </c>
      <c r="G15" s="1">
        <f t="shared" si="2"/>
        <v>7</v>
      </c>
      <c r="H15" s="12">
        <v>1</v>
      </c>
      <c r="I15" s="33"/>
      <c r="J15" s="33"/>
      <c r="K15" s="33"/>
      <c r="L15" s="33" t="str">
        <f t="shared" si="1"/>
        <v/>
      </c>
      <c r="M15" s="33" t="str">
        <f t="shared" si="0"/>
        <v/>
      </c>
      <c r="N15" s="33" t="str">
        <f t="shared" si="0"/>
        <v/>
      </c>
      <c r="O15" s="33" t="str">
        <f t="shared" si="0"/>
        <v/>
      </c>
      <c r="P15" s="1" t="str">
        <f t="shared" si="0"/>
        <v/>
      </c>
      <c r="Q15" s="1" t="str">
        <f t="shared" si="0"/>
        <v/>
      </c>
      <c r="R15" s="1" t="str">
        <f t="shared" si="0"/>
        <v/>
      </c>
      <c r="S15" s="1" t="str">
        <f t="shared" si="0"/>
        <v/>
      </c>
      <c r="T15" s="1" t="str">
        <f t="shared" si="0"/>
        <v/>
      </c>
    </row>
    <row r="16" spans="1:48" x14ac:dyDescent="0.4">
      <c r="A16" s="6">
        <v>1.4</v>
      </c>
      <c r="B16" s="7" t="s">
        <v>14</v>
      </c>
      <c r="C16" s="9"/>
      <c r="D16" s="9"/>
      <c r="E16" s="9"/>
      <c r="F16" s="9"/>
      <c r="G16" s="6"/>
      <c r="H16" s="9"/>
      <c r="L16" s="1" t="str">
        <f t="shared" si="1"/>
        <v/>
      </c>
      <c r="M16" s="1" t="str">
        <f t="shared" si="0"/>
        <v/>
      </c>
      <c r="N16" s="1" t="str">
        <f t="shared" si="0"/>
        <v/>
      </c>
      <c r="O16" s="1" t="str">
        <f t="shared" si="0"/>
        <v/>
      </c>
      <c r="P16" s="1" t="str">
        <f t="shared" si="0"/>
        <v/>
      </c>
      <c r="Q16" s="1" t="str">
        <f t="shared" si="0"/>
        <v/>
      </c>
      <c r="R16" s="1" t="str">
        <f t="shared" si="0"/>
        <v/>
      </c>
      <c r="S16" s="1" t="str">
        <f t="shared" si="0"/>
        <v/>
      </c>
      <c r="T16" s="1" t="str">
        <f t="shared" si="0"/>
        <v/>
      </c>
    </row>
    <row r="17" spans="1:29" x14ac:dyDescent="0.4">
      <c r="B17" s="3" t="s">
        <v>16</v>
      </c>
      <c r="C17" s="2" t="s">
        <v>22</v>
      </c>
      <c r="D17" s="2" t="s">
        <v>24</v>
      </c>
      <c r="E17" s="10">
        <v>46042</v>
      </c>
      <c r="F17" s="10">
        <v>46048</v>
      </c>
      <c r="G17" s="1">
        <f t="shared" si="2"/>
        <v>7</v>
      </c>
      <c r="H17" s="12">
        <v>1</v>
      </c>
      <c r="I17" s="33"/>
      <c r="J17" s="33"/>
      <c r="K17" s="33"/>
      <c r="L17" s="33" t="str">
        <f t="shared" si="1"/>
        <v/>
      </c>
      <c r="M17" s="33" t="str">
        <f t="shared" si="0"/>
        <v/>
      </c>
      <c r="N17" s="33" t="str">
        <f t="shared" si="0"/>
        <v/>
      </c>
      <c r="O17" s="33" t="str">
        <f t="shared" si="0"/>
        <v/>
      </c>
      <c r="P17" s="1" t="str">
        <f t="shared" si="0"/>
        <v/>
      </c>
      <c r="Q17" s="1" t="str">
        <f t="shared" si="0"/>
        <v/>
      </c>
      <c r="R17" s="1" t="str">
        <f t="shared" si="0"/>
        <v/>
      </c>
      <c r="S17" s="1" t="str">
        <f t="shared" si="0"/>
        <v/>
      </c>
      <c r="T17" s="1" t="str">
        <f t="shared" si="0"/>
        <v/>
      </c>
    </row>
    <row r="18" spans="1:29" x14ac:dyDescent="0.4">
      <c r="B18" s="3" t="s">
        <v>17</v>
      </c>
      <c r="C18" s="2" t="s">
        <v>22</v>
      </c>
      <c r="D18" s="2" t="s">
        <v>24</v>
      </c>
      <c r="E18" s="10">
        <v>46042</v>
      </c>
      <c r="F18" s="10">
        <v>46048</v>
      </c>
      <c r="G18" s="1">
        <f t="shared" si="2"/>
        <v>7</v>
      </c>
      <c r="H18" s="12">
        <v>1</v>
      </c>
      <c r="I18" s="33"/>
      <c r="J18" s="33"/>
      <c r="K18" s="33"/>
      <c r="L18" s="33" t="str">
        <f t="shared" si="1"/>
        <v/>
      </c>
      <c r="M18" s="33" t="str">
        <f t="shared" si="0"/>
        <v/>
      </c>
      <c r="N18" s="33" t="str">
        <f t="shared" si="0"/>
        <v/>
      </c>
      <c r="O18" s="33" t="str">
        <f t="shared" si="0"/>
        <v/>
      </c>
      <c r="P18" s="1" t="str">
        <f t="shared" si="0"/>
        <v/>
      </c>
      <c r="Q18" s="1" t="str">
        <f t="shared" si="0"/>
        <v/>
      </c>
      <c r="R18" s="1" t="str">
        <f t="shared" si="0"/>
        <v/>
      </c>
      <c r="S18" s="1" t="str">
        <f t="shared" si="0"/>
        <v/>
      </c>
      <c r="T18" s="1" t="str">
        <f t="shared" si="0"/>
        <v/>
      </c>
    </row>
    <row r="19" spans="1:29" x14ac:dyDescent="0.4">
      <c r="A19" s="5">
        <v>2</v>
      </c>
      <c r="B19" s="4" t="s">
        <v>30</v>
      </c>
      <c r="C19" s="8"/>
      <c r="D19" s="8"/>
      <c r="E19" s="11">
        <v>46049</v>
      </c>
      <c r="F19" s="11">
        <v>46069</v>
      </c>
      <c r="G19" s="5">
        <f>F19-E19+1</f>
        <v>21</v>
      </c>
      <c r="H19" s="8"/>
    </row>
    <row r="20" spans="1:29" x14ac:dyDescent="0.7">
      <c r="A20" s="6">
        <v>2.1</v>
      </c>
      <c r="B20" s="9" t="s">
        <v>48</v>
      </c>
      <c r="C20" s="9"/>
      <c r="D20" s="9"/>
      <c r="E20" s="9"/>
      <c r="F20" s="9"/>
      <c r="G20" s="6"/>
      <c r="H20" s="9"/>
    </row>
    <row r="21" spans="1:29" x14ac:dyDescent="0.35">
      <c r="A21" s="17"/>
      <c r="B21" s="18" t="s">
        <v>64</v>
      </c>
      <c r="C21" s="2" t="s">
        <v>40</v>
      </c>
      <c r="D21" s="2" t="s">
        <v>33</v>
      </c>
      <c r="E21" s="10">
        <v>46049</v>
      </c>
      <c r="F21" s="10">
        <v>46055</v>
      </c>
      <c r="G21" s="1">
        <f>F21-E21+1</f>
        <v>7</v>
      </c>
      <c r="H21" s="12">
        <v>0</v>
      </c>
      <c r="P21" s="33"/>
      <c r="Q21" s="33"/>
      <c r="R21" s="33"/>
      <c r="S21" s="33"/>
      <c r="T21" s="33"/>
      <c r="U21" s="33"/>
      <c r="V21" s="33"/>
    </row>
    <row r="22" spans="1:29" x14ac:dyDescent="0.35">
      <c r="A22" s="17"/>
      <c r="B22" s="18" t="s">
        <v>63</v>
      </c>
      <c r="D22" s="2" t="s">
        <v>36</v>
      </c>
      <c r="E22" s="10">
        <v>46049</v>
      </c>
      <c r="F22" s="10">
        <v>46055</v>
      </c>
      <c r="G22" s="1">
        <f>F22-E22+1</f>
        <v>7</v>
      </c>
      <c r="H22" s="12">
        <v>0</v>
      </c>
      <c r="P22" s="33"/>
      <c r="Q22" s="33"/>
      <c r="R22" s="33"/>
      <c r="S22" s="33"/>
      <c r="T22" s="33"/>
      <c r="U22" s="33"/>
      <c r="V22" s="33"/>
    </row>
    <row r="23" spans="1:29" x14ac:dyDescent="0.7">
      <c r="A23" s="6">
        <v>2.2000000000000002</v>
      </c>
      <c r="B23" s="9" t="s">
        <v>48</v>
      </c>
      <c r="C23" s="9"/>
      <c r="D23" s="9"/>
      <c r="E23" s="9"/>
      <c r="F23" s="9"/>
      <c r="G23" s="6"/>
      <c r="H23" s="9"/>
    </row>
    <row r="24" spans="1:29" x14ac:dyDescent="0.35">
      <c r="B24" s="2" t="s">
        <v>43</v>
      </c>
      <c r="C24" s="2" t="s">
        <v>21</v>
      </c>
      <c r="D24" s="2" t="s">
        <v>23</v>
      </c>
      <c r="E24" s="10">
        <v>46049</v>
      </c>
      <c r="F24" s="10">
        <v>46052</v>
      </c>
      <c r="G24" s="1">
        <f t="shared" ref="G24:G32" si="3">F24-E24+1</f>
        <v>4</v>
      </c>
      <c r="H24" s="12">
        <v>1</v>
      </c>
      <c r="P24" s="33"/>
      <c r="Q24" s="33"/>
      <c r="R24" s="33"/>
      <c r="S24" s="33"/>
    </row>
    <row r="25" spans="1:29" x14ac:dyDescent="0.35">
      <c r="B25" s="2" t="s">
        <v>46</v>
      </c>
      <c r="C25" s="2" t="s">
        <v>19</v>
      </c>
      <c r="D25" s="2" t="s">
        <v>33</v>
      </c>
      <c r="E25" s="10">
        <v>46049</v>
      </c>
      <c r="F25" s="10">
        <v>46055</v>
      </c>
      <c r="G25" s="1">
        <f>F25-E25+1</f>
        <v>7</v>
      </c>
      <c r="H25" s="12">
        <v>0</v>
      </c>
      <c r="P25" s="33"/>
      <c r="Q25" s="33"/>
      <c r="R25" s="33"/>
      <c r="S25" s="33"/>
      <c r="T25" s="33"/>
      <c r="U25" s="33"/>
      <c r="V25" s="33"/>
    </row>
    <row r="26" spans="1:29" x14ac:dyDescent="0.7">
      <c r="A26" s="6">
        <v>2.2999999999999998</v>
      </c>
      <c r="B26" s="9" t="s">
        <v>52</v>
      </c>
      <c r="C26" s="9"/>
      <c r="D26" s="9"/>
      <c r="E26" s="9"/>
      <c r="F26" s="9"/>
      <c r="G26" s="6"/>
      <c r="H26" s="9"/>
    </row>
    <row r="27" spans="1:29" x14ac:dyDescent="0.35">
      <c r="B27" s="2" t="s">
        <v>54</v>
      </c>
      <c r="C27" s="2" t="s">
        <v>42</v>
      </c>
      <c r="D27" s="2" t="s">
        <v>33</v>
      </c>
      <c r="E27" s="10">
        <v>46049</v>
      </c>
      <c r="F27" s="10">
        <v>46055</v>
      </c>
      <c r="G27" s="1">
        <f>F27-E27+1</f>
        <v>7</v>
      </c>
      <c r="H27" s="12">
        <v>0</v>
      </c>
      <c r="P27" s="33"/>
      <c r="Q27" s="33"/>
      <c r="R27" s="33"/>
      <c r="S27" s="33"/>
      <c r="T27" s="33"/>
      <c r="U27" s="33"/>
      <c r="V27" s="33"/>
    </row>
    <row r="28" spans="1:29" x14ac:dyDescent="0.35">
      <c r="B28" s="2" t="s">
        <v>53</v>
      </c>
      <c r="C28" s="2" t="s">
        <v>19</v>
      </c>
      <c r="D28" s="2" t="s">
        <v>33</v>
      </c>
      <c r="E28" s="10">
        <v>46049</v>
      </c>
      <c r="F28" s="10">
        <v>46055</v>
      </c>
      <c r="G28" s="1">
        <f>F28-E28+1</f>
        <v>7</v>
      </c>
      <c r="H28" s="12">
        <v>0</v>
      </c>
      <c r="P28" s="33"/>
      <c r="Q28" s="33"/>
      <c r="R28" s="33"/>
      <c r="S28" s="33"/>
      <c r="T28" s="33"/>
      <c r="U28" s="33"/>
      <c r="V28" s="33"/>
    </row>
    <row r="29" spans="1:29" x14ac:dyDescent="0.7">
      <c r="A29" s="6">
        <v>2.4</v>
      </c>
      <c r="B29" s="9" t="s">
        <v>47</v>
      </c>
      <c r="C29" s="9"/>
      <c r="D29" s="9"/>
      <c r="E29" s="9"/>
      <c r="F29" s="9"/>
      <c r="G29" s="6"/>
      <c r="H29" s="9"/>
      <c r="W29" s="32"/>
      <c r="X29" s="32"/>
      <c r="Y29" s="32"/>
      <c r="Z29" s="32"/>
      <c r="AA29" s="32"/>
      <c r="AB29" s="32"/>
      <c r="AC29" s="32"/>
    </row>
    <row r="30" spans="1:29" x14ac:dyDescent="0.35">
      <c r="B30" s="14" t="s">
        <v>49</v>
      </c>
      <c r="C30" s="2" t="s">
        <v>21</v>
      </c>
      <c r="D30" s="2" t="s">
        <v>35</v>
      </c>
      <c r="E30" s="10">
        <v>46056</v>
      </c>
      <c r="F30" s="10">
        <v>46062</v>
      </c>
      <c r="G30" s="1">
        <f t="shared" si="3"/>
        <v>7</v>
      </c>
      <c r="H30" s="12">
        <v>0</v>
      </c>
      <c r="W30" s="33"/>
      <c r="X30" s="33"/>
      <c r="Y30" s="33"/>
      <c r="Z30" s="33"/>
      <c r="AA30" s="33"/>
      <c r="AB30" s="33"/>
      <c r="AC30" s="33"/>
    </row>
    <row r="31" spans="1:29" x14ac:dyDescent="0.35">
      <c r="B31" s="14" t="s">
        <v>51</v>
      </c>
      <c r="C31" s="2" t="s">
        <v>21</v>
      </c>
      <c r="D31" s="2" t="s">
        <v>35</v>
      </c>
      <c r="E31" s="10">
        <v>46056</v>
      </c>
      <c r="F31" s="10">
        <v>46062</v>
      </c>
      <c r="G31" s="1">
        <f t="shared" si="3"/>
        <v>7</v>
      </c>
      <c r="H31" s="12">
        <v>0</v>
      </c>
      <c r="W31" s="33"/>
      <c r="X31" s="33"/>
      <c r="Y31" s="33"/>
      <c r="Z31" s="33"/>
      <c r="AA31" s="33"/>
      <c r="AB31" s="33"/>
      <c r="AC31" s="33"/>
    </row>
    <row r="32" spans="1:29" x14ac:dyDescent="0.35">
      <c r="B32" s="14" t="s">
        <v>50</v>
      </c>
      <c r="C32" s="2" t="s">
        <v>21</v>
      </c>
      <c r="D32" s="2" t="s">
        <v>35</v>
      </c>
      <c r="E32" s="10">
        <v>46056</v>
      </c>
      <c r="F32" s="10">
        <v>46062</v>
      </c>
      <c r="G32" s="1">
        <f t="shared" si="3"/>
        <v>7</v>
      </c>
      <c r="H32" s="12">
        <v>0</v>
      </c>
      <c r="W32" s="33"/>
      <c r="X32" s="33"/>
      <c r="Y32" s="33"/>
      <c r="Z32" s="33"/>
      <c r="AA32" s="33"/>
      <c r="AB32" s="33"/>
      <c r="AC32" s="33"/>
    </row>
    <row r="33" spans="1:8" x14ac:dyDescent="0.35">
      <c r="A33" s="6">
        <v>2.5</v>
      </c>
      <c r="B33" s="9" t="s">
        <v>55</v>
      </c>
      <c r="C33" s="9"/>
      <c r="D33" s="9"/>
      <c r="E33" s="15"/>
      <c r="F33" s="15"/>
      <c r="G33" s="6"/>
      <c r="H33" s="16"/>
    </row>
    <row r="34" spans="1:8" x14ac:dyDescent="0.35">
      <c r="B34" s="14" t="s">
        <v>56</v>
      </c>
      <c r="C34" s="2" t="s">
        <v>21</v>
      </c>
      <c r="D34" s="2" t="s">
        <v>35</v>
      </c>
      <c r="E34" s="10" t="s">
        <v>65</v>
      </c>
      <c r="F34" s="10">
        <v>46069</v>
      </c>
      <c r="H34" s="12"/>
    </row>
    <row r="35" spans="1:8" x14ac:dyDescent="0.35">
      <c r="B35" s="14" t="s">
        <v>57</v>
      </c>
      <c r="C35" s="2" t="s">
        <v>21</v>
      </c>
      <c r="D35" s="2" t="s">
        <v>35</v>
      </c>
      <c r="E35" s="10" t="s">
        <v>65</v>
      </c>
      <c r="F35" s="10">
        <v>46069</v>
      </c>
      <c r="H35" s="12"/>
    </row>
    <row r="36" spans="1:8" x14ac:dyDescent="0.35">
      <c r="B36" s="14" t="s">
        <v>59</v>
      </c>
      <c r="C36" s="2" t="s">
        <v>21</v>
      </c>
      <c r="D36" s="2" t="s">
        <v>35</v>
      </c>
      <c r="E36" s="10" t="s">
        <v>65</v>
      </c>
      <c r="F36" s="10">
        <v>46069</v>
      </c>
      <c r="H36" s="12"/>
    </row>
    <row r="37" spans="1:8" x14ac:dyDescent="0.35">
      <c r="A37" s="6">
        <v>2.6</v>
      </c>
      <c r="B37" s="9" t="s">
        <v>58</v>
      </c>
      <c r="C37" s="9"/>
      <c r="D37" s="9"/>
      <c r="E37" s="15"/>
      <c r="F37" s="15"/>
      <c r="G37" s="6"/>
      <c r="H37" s="16"/>
    </row>
    <row r="38" spans="1:8" x14ac:dyDescent="0.35">
      <c r="B38" s="14" t="s">
        <v>60</v>
      </c>
      <c r="C38" s="2" t="s">
        <v>21</v>
      </c>
      <c r="D38" s="2" t="s">
        <v>35</v>
      </c>
      <c r="E38" s="10" t="s">
        <v>65</v>
      </c>
      <c r="F38" s="10">
        <v>46069</v>
      </c>
    </row>
    <row r="39" spans="1:8" x14ac:dyDescent="0.35">
      <c r="B39" s="14" t="s">
        <v>61</v>
      </c>
      <c r="C39" s="2" t="s">
        <v>21</v>
      </c>
      <c r="D39" s="2" t="s">
        <v>35</v>
      </c>
      <c r="E39" s="10" t="s">
        <v>65</v>
      </c>
      <c r="F39" s="10">
        <v>46069</v>
      </c>
    </row>
    <row r="40" spans="1:8" x14ac:dyDescent="0.35">
      <c r="B40" s="14" t="s">
        <v>62</v>
      </c>
      <c r="C40" s="2" t="s">
        <v>21</v>
      </c>
      <c r="D40" s="2" t="s">
        <v>35</v>
      </c>
      <c r="E40" s="10" t="s">
        <v>65</v>
      </c>
      <c r="F40" s="10">
        <v>46069</v>
      </c>
    </row>
  </sheetData>
  <mergeCells count="9">
    <mergeCell ref="H3:H5"/>
    <mergeCell ref="F3:F5"/>
    <mergeCell ref="E3:E5"/>
    <mergeCell ref="I3:T3"/>
    <mergeCell ref="A3:A5"/>
    <mergeCell ref="B3:B5"/>
    <mergeCell ref="C3:C5"/>
    <mergeCell ref="D3:D5"/>
    <mergeCell ref="G3:G5"/>
  </mergeCells>
  <phoneticPr fontId="2"/>
  <conditionalFormatting sqref="A2:H1000">
    <cfRule type="expression" dxfId="3" priority="1">
      <formula>$D2="Done"</formula>
    </cfRule>
  </conditionalFormatting>
  <conditionalFormatting sqref="I5:XFD5">
    <cfRule type="expression" dxfId="5" priority="7">
      <formula>$D3="Done"</formula>
    </cfRule>
  </conditionalFormatting>
  <conditionalFormatting sqref="I3 U3:XFD3">
    <cfRule type="expression" dxfId="4" priority="9">
      <formula>#REF!="Done"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2E26E18-08FD-4E34-89F9-E8DEF5673C74}">
          <x14:formula1>
            <xm:f>Lists!$B$3:$B$5</xm:f>
          </x14:formula1>
          <xm:sqref>D27:D28 D30:D45 D6:D25</xm:sqref>
        </x14:dataValidation>
        <x14:dataValidation type="list" allowBlank="1" showInputMessage="1" showErrorMessage="1" xr:uid="{CD8C67CB-232C-4CC1-9DF3-CF2452F1D354}">
          <x14:formula1>
            <xm:f>Lists!$A$3:$A$9</xm:f>
          </x14:formula1>
          <xm:sqref>C27:C28 C30:C45 C6:C25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CFDF-B3A7-4603-9364-E48C40980AA4}">
  <dimension ref="B3:B11"/>
  <sheetViews>
    <sheetView topLeftCell="A2" workbookViewId="0">
      <selection activeCell="D8" sqref="D8"/>
    </sheetView>
  </sheetViews>
  <sheetFormatPr defaultRowHeight="17.649999999999999" x14ac:dyDescent="0.7"/>
  <sheetData>
    <row r="3" spans="2:2" x14ac:dyDescent="0.7">
      <c r="B3" t="s">
        <v>4</v>
      </c>
    </row>
    <row r="4" spans="2:2" x14ac:dyDescent="0.7">
      <c r="B4" t="s">
        <v>5</v>
      </c>
    </row>
    <row r="6" spans="2:2" x14ac:dyDescent="0.7">
      <c r="B6" t="s">
        <v>6</v>
      </c>
    </row>
    <row r="7" spans="2:2" x14ac:dyDescent="0.7">
      <c r="B7" t="s">
        <v>7</v>
      </c>
    </row>
    <row r="8" spans="2:2" x14ac:dyDescent="0.7">
      <c r="B8" t="s">
        <v>8</v>
      </c>
    </row>
    <row r="9" spans="2:2" x14ac:dyDescent="0.7">
      <c r="B9" t="s">
        <v>9</v>
      </c>
    </row>
    <row r="10" spans="2:2" x14ac:dyDescent="0.7">
      <c r="B10" t="s">
        <v>10</v>
      </c>
    </row>
    <row r="11" spans="2:2" x14ac:dyDescent="0.7">
      <c r="B11" t="s">
        <v>11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372B-C0FE-4866-A549-D0F284B696CA}">
  <dimension ref="A2:B9"/>
  <sheetViews>
    <sheetView workbookViewId="0">
      <selection activeCell="A3" sqref="A3:A9"/>
    </sheetView>
  </sheetViews>
  <sheetFormatPr defaultRowHeight="17.649999999999999" x14ac:dyDescent="0.7"/>
  <sheetData>
    <row r="2" spans="1:2" x14ac:dyDescent="0.7">
      <c r="A2" s="13" t="s">
        <v>37</v>
      </c>
      <c r="B2" s="13" t="s">
        <v>29</v>
      </c>
    </row>
    <row r="3" spans="1:2" x14ac:dyDescent="0.7">
      <c r="A3" t="s">
        <v>22</v>
      </c>
      <c r="B3" t="s">
        <v>36</v>
      </c>
    </row>
    <row r="4" spans="1:2" x14ac:dyDescent="0.7">
      <c r="A4" t="s">
        <v>41</v>
      </c>
      <c r="B4" t="s">
        <v>34</v>
      </c>
    </row>
    <row r="5" spans="1:2" x14ac:dyDescent="0.7">
      <c r="A5" t="s">
        <v>42</v>
      </c>
      <c r="B5" t="s">
        <v>24</v>
      </c>
    </row>
    <row r="6" spans="1:2" x14ac:dyDescent="0.7">
      <c r="A6" t="s">
        <v>39</v>
      </c>
    </row>
    <row r="7" spans="1:2" x14ac:dyDescent="0.7">
      <c r="A7" t="s">
        <v>19</v>
      </c>
    </row>
    <row r="8" spans="1:2" x14ac:dyDescent="0.7">
      <c r="A8" t="s">
        <v>40</v>
      </c>
    </row>
    <row r="9" spans="1:2" x14ac:dyDescent="0.7">
      <c r="A9" t="s">
        <v>38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WBS</vt:lpstr>
      <vt:lpstr>Deliverables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Shiho Morimatsu</dc:creator>
  <cp:lastModifiedBy>Shiho Morimatsu</cp:lastModifiedBy>
  <dcterms:created xsi:type="dcterms:W3CDTF">2026-02-03T01:15:39Z</dcterms:created>
  <dcterms:modified xsi:type="dcterms:W3CDTF">2026-02-03T03:26:55Z</dcterms:modified>
</cp:coreProperties>
</file>